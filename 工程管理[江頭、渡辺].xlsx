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ガントチャート" sheetId="1" r:id="rId5"/>
    <sheet state="visible" name="シート3" sheetId="2" r:id="rId6"/>
  </sheets>
  <definedNames/>
  <calcPr/>
</workbook>
</file>

<file path=xl/sharedStrings.xml><?xml version="1.0" encoding="utf-8"?>
<sst xmlns="http://schemas.openxmlformats.org/spreadsheetml/2006/main" count="97" uniqueCount="82">
  <si>
    <t>No.</t>
  </si>
  <si>
    <t>親タスク</t>
  </si>
  <si>
    <t>子タスク</t>
  </si>
  <si>
    <t>備考</t>
  </si>
  <si>
    <t>担当者</t>
  </si>
  <si>
    <t>開始日</t>
  </si>
  <si>
    <t>終了日</t>
  </si>
  <si>
    <t>見積</t>
  </si>
  <si>
    <t>実績</t>
  </si>
  <si>
    <t>進捗</t>
  </si>
  <si>
    <t>月</t>
  </si>
  <si>
    <t>タスク詳細</t>
  </si>
  <si>
    <t>[h]</t>
  </si>
  <si>
    <t>[%]</t>
  </si>
  <si>
    <t>日</t>
  </si>
  <si>
    <t>※自動計算</t>
  </si>
  <si>
    <t>曜日</t>
  </si>
  <si>
    <t>要求仕様書</t>
  </si>
  <si>
    <t>一覧画面</t>
  </si>
  <si>
    <t>検索時スレッド挙動の定義</t>
  </si>
  <si>
    <t>詳細情報画面</t>
  </si>
  <si>
    <t>編集可否・スコア0.5刻みの仕様定義</t>
  </si>
  <si>
    <t>新規追加画面</t>
  </si>
  <si>
    <t>手入力および保存仕様の定義</t>
  </si>
  <si>
    <t>CSV読み込み</t>
  </si>
  <si>
    <t>インポート形式・一括追加仕様の定義</t>
  </si>
  <si>
    <t>CSV出力</t>
  </si>
  <si>
    <t>テンプレートおよび個別・一括出力仕様</t>
  </si>
  <si>
    <t>ログイン機能仕様作成</t>
  </si>
  <si>
    <t>ハッシュ化パスワード・認証ロジック仕様</t>
  </si>
  <si>
    <t>設計</t>
  </si>
  <si>
    <t>Figmaによる画面モックアップ作成</t>
  </si>
  <si>
    <t>全画面のUIデザイン・ボタン配置</t>
  </si>
  <si>
    <t>クラス図作成</t>
  </si>
  <si>
    <t>PlantUMLによるモデル・Util・画面クラス設計</t>
  </si>
  <si>
    <t>状態遷移図</t>
  </si>
  <si>
    <t>遷移表作成,ログイン前後や検索中の画面状態の整理</t>
  </si>
  <si>
    <t>シーケンス図</t>
  </si>
  <si>
    <t>検索スレッドと排他制御の非同期処理設計</t>
  </si>
  <si>
    <t>設計レビュー</t>
  </si>
  <si>
    <t>成果物のレビューと工程表の見直し</t>
  </si>
  <si>
    <t>実装</t>
  </si>
  <si>
    <t>単体試験</t>
  </si>
  <si>
    <t>モデルクラス実装,Engineerクラス・評価スコアの保持</t>
  </si>
  <si>
    <t>CSVファイル操作Util実装,新規追加・追記・削除・排他制御(synchronized)</t>
  </si>
  <si>
    <t>ハッシュ化Util実装,パスワードのSHA-256暗号化処理</t>
  </si>
  <si>
    <t>ログイン画面実装,認証処理・GUIイベントの実装</t>
  </si>
  <si>
    <t>一覧画面実装,JTable表示・ソート・複数削除の実装</t>
  </si>
  <si>
    <t>検索非同期処理実装,スレッドによるバックグラウンド検索・制御</t>
  </si>
  <si>
    <t>詳細情報画面実装,編集・更新・保存日時付与の実装</t>
  </si>
  <si>
    <t>新規追加画面実装,1件追加機能の実装</t>
  </si>
  <si>
    <t>試験</t>
  </si>
  <si>
    <t>結合</t>
  </si>
  <si>
    <t>繋ぎこみ（マージ）,各自の実装分の結合とコンフリクト解消</t>
  </si>
  <si>
    <t>試験書作成,テストケースの洗い出し（正常・異常系）</t>
  </si>
  <si>
    <t>試験書レビュー,チーム内および講師による試験書の確認</t>
  </si>
  <si>
    <t>結合試験・不具合修正,試験書の実施とバグ修正のループ（バグ0へ）</t>
  </si>
  <si>
    <t>レビュー</t>
  </si>
  <si>
    <t>納品</t>
  </si>
  <si>
    <t>チーム内コードレビュー,GitHubでの相互コードチェック・リファクタ,全員</t>
  </si>
  <si>
    <t>講師コードレビュー,バグ0状態での最終コードレビュー,全員</t>
  </si>
  <si>
    <t>手戻り修正＆再試験,指摘箇所の修正およびデグレード確認の再試験</t>
  </si>
  <si>
    <t>課題合格・納品,最終確認と合格受領,</t>
  </si>
  <si>
    <t>No.,親タスク,子タスク,備考（タスク詳細）,担当者,開始日,終了日,見積,実績,進捗
1,要求仕様書,一覧画面仕様作成,画面項目・検索時スレッド挙動の定義,A,,,,0%
2,要求仕様書,詳細情報画面仕様作成,編集可否・スコア0.5刻みの仕様定義,A,,,,0%
3,要求仕様書,新規追加画面仕様作成,手入力および保存仕様の定義,A,,,,0%
4,要求仕様書,CSV読み込み仕様作成,インポート形式・一括追加仕様の定義,B,,,,0%
5,要求仕様書,CSV出力仕様作成,テンプレートおよび個別・一括出力仕様,B,,,,0%
6,要求仕様書,ログイン機能仕様作成,ハッシュ化パスワード・認証ロジック仕様,未定,,,,0%
7,設計,Figmaによる画面モックアップ作成,全画面のUIデザイン・ボタン配置,未定,,,,0%
8,設計,クラス図作成,PlantUMLによるモデル・Util・画面クラス設計,未定,,,,0%
9,設計,状態遷移図・遷移表作成,ログイン前後や検索中の画面状態の整理,未定,,,,0%
10,設計,シーケンス図作成,検索スレッドと排他制御の非同期処理設計,未定,,,,0%
11,設計,設計レビュー（チーム内→講師）,成果物のレビューと工程表の見直し,全員,,,,0%
12,実装・単体試験,共通：モデルクラス実装,Engineerクラス・評価スコアの保持,未定,,,,0%
13,実装・単体試験,共通：CSVファイル操作Util実装,新規追加・追記・削除・排他制御(synchronized),未定,,,,0%
14,実装・単体試験,共通：ハッシュ化Util実装,パスワードのSHA-256暗号化処理,未定,,,,0%
15,実装・単体試験,画面：ログイン画面実装,認証処理・GUIイベントの実装,未定,,,,0%
16,実装・単体試験,画面：一覧画面実装,JTable表示・ソート・複数削除の実装,未定,,,,0%
17,実装・単体試験,画面：検索非同期処理実装,スレッドによるバックグラウンド検索・制御,未定,,,,0%
18,実装・単体試験,画面：詳細情報画面実装,編集・更新・保存日時付与の実装,未定,,,,0%
19,実装・単体試験,画面：新規追加画面実装,1件追加機能の実装,未定,,,,0%
20,試験・結合,繋ぎこみ（マージ）,各自の実装分の結合とコンフリクト解消,全員,,,,0%
21,試験・結合,試験書作成,テストケースの洗い出し（正常・異常系）,未定,,,,0%
22,試験・結合,試験書レビュー,チーム内および講師による試験書の確認,全員,,,,0%
23,試験・結合,結合試験・不具合修正,試験書の実施とバグ修正のループ（バグ0へ）,全員,,,,0%
24,レビュー・納品,チーム内コードレビュー,GitHubでの相互コードチェック・リファクタ,全員,,,,0%
25,レビュー・納品,講師コードレビュー,バグ0状態での最終コードレビュー,全員,,,,0%
26,レビュー・納品,手戻り修正＆再試験,指摘箇所の修正およびデグレード確認の再試験,全員,,,,0%
27,レビュー・納品,課題合格・納品,最終確認と合格受領,全員,,,,0%</t>
  </si>
  <si>
    <t>項目・画面名,機能・目的,詳しいルール（仕様）
①全体ルール,管理するデータ,氏名・社員ID・生年月日・入社年月・エンジニア歴・扱える言語・経歴・研修履歴・評価スコア（4項目）・備考
①全体ルール,ログイン機能,起動時に社員IDとパスワードで認証する。※パスワードは安全のためSHA-256でハッシュ化して保存。
②一覧画面,データ表示,社員ID・氏名・年齢（生年月日より自動計算）・エンジニア歴・扱える言語を表示する。
②一覧画面,検索機能,各項目で検索ができる。※【最重要】検索中はフリーズ防止のため別スレッドで処理し、×ボタン以外は押せないようにする。
②一覧画面,ソート機能,社員ID・氏名・年齢・エンジニア歴のヘッダーをクリックすると、昇順・降順に並び替えができる。
②一覧画面,削除機能,チェックボックス等でエンジニアを複数選択し、一括で削除できる。
③詳細画面,データ表示,一覧で選んだエンジニアの全情報と、その情報が保存・更新された日付（タイムスタンプ）を表示する。
③詳細画面,更新機能,社員ID以外の項目を編集して「更新」できる。ボタンを押すとCSVに上書き保存される。
③詳細画面,評価スコア,技術力・受講態度・コミュ力・リーダーシップを「1〜5の0.5刻み」で選択できるようにする。
④新規追加画面,1件追加,詳細画面と同じ項目を手入力して、新しくエンジニアを1件登録する（社員IDの重複はエラーにする）。
⑤CSV連携,CSV読み込み,指定フォーマットのCSVを読み込んで、エンジニア情報を一括で追加（追記）できる。
⑤CSV連携,テンプレート出力,ユーザーが迷わないように、項目名（ヘッダー）だけが書かれた空のCSVファイルを出力する。
⑤CSV連携,CSV出力,一覧画面で選択したエンジニアの情報を、CSVファイルとして書き出す（バックアップ用）。
設計ルール,クラス図,PlantUMLで作成。クラスの名前や役割、クラス同士のつながりを実装前に整理する。
設計ルール,状態遷移図・表,PlantUMLで作成。「ログイン前」「ログイン後」「検索中」などの状態変化をイベントごとに整理する。
設計ルール,シーケンス図,PlantUMLで作成。処理の順番を時系列で整理する。特にCSVへの同時書き込みを防ぐ「排他制御」の期間を明確にする。</t>
  </si>
  <si>
    <t>章（カテゴリ）,項目・ドキュメント名,内容 / ルール / PlantUMLコード（そのままコピーして使えます）</t>
  </si>
  <si>
    <t>1. 要求仕様書,システムの目的,エンジニアの基本情報・スキル・評価を一元管理し、効率的な育成や適切な人員配置に役立てる。</t>
  </si>
  <si>
    <t>1. 要求仕様書,管理するデータ項目,氏名、社員ID、生年月日、入社年月、エンジニア歴、扱える言語、経歴、研修の受講歴、評価スコア（技術力・受講態度・コミュ力・リーダーシップの4つ：1〜5の0.5刻み）、備考</t>
  </si>
  <si>
    <t>1. 要求仕様書,ログイン機能の仕様,起動時に社員IDとパスワードで認証。※安全のため、パスワードはハッシュ化（SHA-256）してファイルに保存すること。</t>
  </si>
  <si>
    <t>1. 要求仕様書,一覧画面の仕様,社員ID・氏名・年齢（生年月日より自動計算）・エンジニア歴・扱える言語を表示。各項目で検索・ソートができ、複数選択して一括削除も可能。</t>
  </si>
  <si>
    <t>1. 要求仕様書,詳細情報画面の仕様,選択したエンジニアの全情報と「保存日時（タイムスタンプ）」を表示。社員ID以外を編集して更新（CSVへ上書き）できる。</t>
  </si>
  <si>
    <t>1. 要求仕様書,新規追加画面の仕様,詳細画面と同じ項目を手入力し、新しくエンジニアを1件登録する（社員IDの重複はエラーにする）。</t>
  </si>
  <si>
    <t>1. 要求仕様書,CSV連携機能の仕様,・CSV読み込み：形式通りのCSVをインポートして一括追加\n・テンプレート出力：項目名（ヘッダー）だけの空CSVを出力\n・CSV出力：選択したエンジニア情報をCSVへ書き出し</t>
  </si>
  <si>
    <t>2. 画面仕様書,画面イメージの定義,Figmaやスプレッドシートを使って画面レイアウト（UI/UX）を作成する。</t>
  </si>
  <si>
    <t>2. 画面仕様書,ボタン・画面の動き,ボタンを押したときの画面遷移や、入力エラー時のメッセージ・文言を定義する。</t>
  </si>
  <si>
    <t>2. 画面仕様書,検索中の特殊ルール,【最重要】検索処理（スレッド実行）が動いている間は、画面フリーズを防ぐため「×（キャンセル）」ボタン以外の操作をすべて禁止にする。</t>
  </si>
  <si>
    <t>3. 設計図(PlantUML),①クラス図,@startuml\nclass LoginScreen { + login(id, password) }\nclass MainScreen { + displayList() + searchEngineer() + deleteEngineer() }\nclass DetailScreen { + updateEngineer() }\nclass Engineer { - id - name - score }\nclass CSVUtil { + {static} readCSV() + {static} writeCSV() }\nLoginScreen --&gt; MainScreen : 認証成功\nMainScreen --&gt; DetailScreen : 選択\nMainScreen ..&gt; CSVUtil : 利用\nDetailScreen ..&gt; CSVUtil : 利用\nMainScreen "1" *-- "many" Engineer : 管理\n@endum</t>
  </si>
  <si>
    <t>3. 設計図(PlantUML),②状態遷移図,@startuml\n[*] --&gt; ログイン前\nログイン前 --&gt; ログイン後 : ログインボタン押下\nログイン後 --&gt; 検索中 : 検索ボタン押下\n検索中 --&gt; ログイン後 : 検索完了 / ×ボタン押下\nログイン後 --&gt; [*] : ログアウト\n@endum</t>
  </si>
  <si>
    <t>3. 設計図(PlantUML),③シーケンス図,@startuml\nactor ユーザー\nparticipant 画面(GUI)\nparticipant 検索スレッド\ndatabase CSVファイル\nユーザー -&gt; 画面(GUI) : 検索ボタン押下\nactivate 画面(GUI)\n画面(GUI) -&gt; 画面(GUI) : ×ボタン以外の操作を禁止\n画面(GUI) -&gt; 検索スレッド : スレッド起動(start)\nactivate 検索スレッド\n== 排他制御の区間(synchronized) ==\n検索スレッド -&gt; CSVファイル : 安全にデータを読み込み\nCSVファイル --&gt; 検索スレッド : データ返却\n== 区間終了 ==\n検索スレッド --&gt; 画面(GUI) : 検索結果を通知\ndeactivate 検索スレッド\n画面(GUI) -&gt; 画面(GUI) : 画面の操作禁止を解除\n画面(GUI) --&gt; ユーザー : 結果を一覧表示\ndeactivate 画面(GUI)\n@endum</t>
  </si>
  <si>
    <t>4. 状態遷移表,（現在の状態：ログイン前）,イベント「ログインボタン押下」が発生すると ⇒ 【遷移後の状態：ログイン後】（その他のイベントは「-」）</t>
  </si>
  <si>
    <t>4. 状態遷移表,（現在の状態：ログイン後）,イベント「検索ボタン押下」が発生すると ⇒ 【遷移後の状態：検索中】（その他のイベントは「-」）</t>
  </si>
  <si>
    <t>4. 状態遷移表,（現在の状態：検索中）,イベント「検索完了 または ×ボタン押下」が発生すると ⇒ 【遷移後の状態：ログイン後】（その他のイベントは「-」）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</si>
</sst>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16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right" readingOrder="0" vertical="bottom"/>
    </xf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2" fillId="0" fontId="1" numFmtId="164" xfId="0" applyAlignment="1" applyBorder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7.25"/>
    <col customWidth="1" min="4" max="4" width="5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/>
      <c r="B2" s="4"/>
      <c r="C2" s="4"/>
      <c r="D2" s="4" t="s">
        <v>11</v>
      </c>
      <c r="E2" s="4"/>
      <c r="F2" s="4"/>
      <c r="G2" s="4"/>
      <c r="H2" s="5" t="s">
        <v>12</v>
      </c>
      <c r="I2" s="5" t="s">
        <v>12</v>
      </c>
      <c r="J2" s="5" t="s">
        <v>13</v>
      </c>
      <c r="K2" s="3" t="s">
        <v>14</v>
      </c>
    </row>
    <row r="3">
      <c r="A3" s="6"/>
      <c r="B3" s="6"/>
      <c r="C3" s="6"/>
      <c r="D3" s="6"/>
      <c r="E3" s="6"/>
      <c r="F3" s="6"/>
      <c r="G3" s="6"/>
      <c r="H3" s="6"/>
      <c r="I3" s="7" t="s">
        <v>15</v>
      </c>
      <c r="J3" s="7" t="s">
        <v>15</v>
      </c>
      <c r="K3" s="3" t="s">
        <v>16</v>
      </c>
    </row>
    <row r="4">
      <c r="A4" s="8">
        <f t="shared" ref="A4:A8" si="1">ROW()-ROW(A$3)</f>
        <v>1</v>
      </c>
      <c r="B4" s="9" t="s">
        <v>17</v>
      </c>
      <c r="C4" s="10" t="s">
        <v>18</v>
      </c>
      <c r="D4" s="11" t="s">
        <v>19</v>
      </c>
      <c r="E4" s="10"/>
      <c r="F4" s="12"/>
      <c r="G4" s="12"/>
      <c r="H4" s="13"/>
      <c r="I4" s="8">
        <f t="shared" ref="I4:I30" si="2">SUM(L4:Z4)</f>
        <v>0</v>
      </c>
      <c r="J4" s="8" t="str">
        <f t="shared" ref="J4:J8" si="3">IFERROR(I4/H4*100,"")</f>
        <v/>
      </c>
      <c r="K4" s="10"/>
    </row>
    <row r="5">
      <c r="A5" s="8">
        <f t="shared" si="1"/>
        <v>2</v>
      </c>
      <c r="B5" s="14"/>
      <c r="C5" s="10" t="s">
        <v>20</v>
      </c>
      <c r="D5" s="15" t="s">
        <v>21</v>
      </c>
      <c r="E5" s="10"/>
      <c r="F5" s="10"/>
      <c r="G5" s="10"/>
      <c r="H5" s="10"/>
      <c r="I5" s="8">
        <f t="shared" si="2"/>
        <v>0</v>
      </c>
      <c r="J5" s="10" t="str">
        <f t="shared" si="3"/>
        <v/>
      </c>
      <c r="K5" s="10"/>
    </row>
    <row r="6">
      <c r="A6" s="8">
        <f t="shared" si="1"/>
        <v>3</v>
      </c>
      <c r="B6" s="14"/>
      <c r="C6" s="10" t="s">
        <v>22</v>
      </c>
      <c r="D6" s="11" t="s">
        <v>23</v>
      </c>
      <c r="E6" s="10"/>
      <c r="F6" s="10"/>
      <c r="G6" s="10"/>
      <c r="H6" s="10"/>
      <c r="I6" s="8">
        <f t="shared" si="2"/>
        <v>0</v>
      </c>
      <c r="J6" s="10" t="str">
        <f t="shared" si="3"/>
        <v/>
      </c>
      <c r="K6" s="10"/>
    </row>
    <row r="7">
      <c r="A7" s="8">
        <f t="shared" si="1"/>
        <v>4</v>
      </c>
      <c r="B7" s="14"/>
      <c r="C7" s="10" t="s">
        <v>24</v>
      </c>
      <c r="D7" s="15" t="s">
        <v>25</v>
      </c>
      <c r="E7" s="10"/>
      <c r="F7" s="10"/>
      <c r="G7" s="10"/>
      <c r="H7" s="10"/>
      <c r="I7" s="8">
        <f t="shared" si="2"/>
        <v>0</v>
      </c>
      <c r="J7" s="10" t="str">
        <f t="shared" si="3"/>
        <v/>
      </c>
      <c r="K7" s="10"/>
    </row>
    <row r="8">
      <c r="A8" s="8">
        <f t="shared" si="1"/>
        <v>5</v>
      </c>
      <c r="B8" s="14"/>
      <c r="C8" s="10" t="s">
        <v>26</v>
      </c>
      <c r="D8" s="11" t="s">
        <v>27</v>
      </c>
      <c r="E8" s="10"/>
      <c r="F8" s="10"/>
      <c r="G8" s="10"/>
      <c r="H8" s="10"/>
      <c r="I8" s="8">
        <f t="shared" si="2"/>
        <v>0</v>
      </c>
      <c r="J8" s="10" t="str">
        <f t="shared" si="3"/>
        <v/>
      </c>
      <c r="K8" s="10"/>
    </row>
    <row r="9">
      <c r="A9" s="13">
        <v>6.0</v>
      </c>
      <c r="B9" s="16"/>
      <c r="C9" s="11" t="s">
        <v>28</v>
      </c>
      <c r="D9" s="15" t="s">
        <v>29</v>
      </c>
      <c r="E9" s="10"/>
      <c r="F9" s="10"/>
      <c r="G9" s="10"/>
      <c r="H9" s="10"/>
      <c r="I9" s="8">
        <f t="shared" si="2"/>
        <v>0</v>
      </c>
      <c r="J9" s="10"/>
      <c r="K9" s="10"/>
    </row>
    <row r="10">
      <c r="A10" s="8">
        <f t="shared" ref="A10:A30" si="4">ROW()-ROW(A$3)</f>
        <v>7</v>
      </c>
      <c r="B10" s="17" t="s">
        <v>30</v>
      </c>
      <c r="C10" s="11" t="s">
        <v>31</v>
      </c>
      <c r="D10" s="18" t="s">
        <v>32</v>
      </c>
      <c r="E10" s="10"/>
      <c r="F10" s="10"/>
      <c r="G10" s="10"/>
      <c r="H10" s="10"/>
      <c r="I10" s="8">
        <f t="shared" si="2"/>
        <v>0</v>
      </c>
      <c r="J10" s="10" t="str">
        <f t="shared" ref="J10:J30" si="5">IFERROR(I10/H10*100,"")</f>
        <v/>
      </c>
      <c r="K10" s="10"/>
    </row>
    <row r="11">
      <c r="A11" s="8">
        <f t="shared" si="4"/>
        <v>8</v>
      </c>
      <c r="B11" s="14"/>
      <c r="C11" s="11" t="s">
        <v>33</v>
      </c>
      <c r="D11" s="11" t="s">
        <v>34</v>
      </c>
      <c r="E11" s="10"/>
      <c r="F11" s="10"/>
      <c r="G11" s="10"/>
      <c r="H11" s="10"/>
      <c r="I11" s="8">
        <f t="shared" si="2"/>
        <v>0</v>
      </c>
      <c r="J11" s="10" t="str">
        <f t="shared" si="5"/>
        <v/>
      </c>
      <c r="K11" s="10"/>
    </row>
    <row r="12">
      <c r="A12" s="8">
        <f t="shared" si="4"/>
        <v>9</v>
      </c>
      <c r="B12" s="14"/>
      <c r="C12" s="11" t="s">
        <v>35</v>
      </c>
      <c r="D12" s="11" t="s">
        <v>36</v>
      </c>
      <c r="E12" s="10"/>
      <c r="F12" s="10"/>
      <c r="G12" s="10"/>
      <c r="H12" s="10"/>
      <c r="I12" s="8">
        <f t="shared" si="2"/>
        <v>0</v>
      </c>
      <c r="J12" s="10" t="str">
        <f t="shared" si="5"/>
        <v/>
      </c>
      <c r="K12" s="10"/>
    </row>
    <row r="13">
      <c r="A13" s="8">
        <f t="shared" si="4"/>
        <v>10</v>
      </c>
      <c r="B13" s="14"/>
      <c r="C13" s="11" t="s">
        <v>37</v>
      </c>
      <c r="D13" s="11" t="s">
        <v>38</v>
      </c>
      <c r="E13" s="10"/>
      <c r="F13" s="10"/>
      <c r="G13" s="10"/>
      <c r="H13" s="10"/>
      <c r="I13" s="8">
        <f t="shared" si="2"/>
        <v>0</v>
      </c>
      <c r="J13" s="10" t="str">
        <f t="shared" si="5"/>
        <v/>
      </c>
      <c r="K13" s="10"/>
    </row>
    <row r="14">
      <c r="A14" s="8">
        <f t="shared" si="4"/>
        <v>11</v>
      </c>
      <c r="B14" s="16"/>
      <c r="C14" s="11" t="s">
        <v>39</v>
      </c>
      <c r="D14" s="11" t="s">
        <v>40</v>
      </c>
      <c r="E14" s="10"/>
      <c r="F14" s="10"/>
      <c r="G14" s="10"/>
      <c r="H14" s="10"/>
      <c r="I14" s="8">
        <f t="shared" si="2"/>
        <v>0</v>
      </c>
      <c r="J14" s="10" t="str">
        <f t="shared" si="5"/>
        <v/>
      </c>
      <c r="K14" s="10"/>
    </row>
    <row r="15">
      <c r="A15" s="8">
        <f t="shared" si="4"/>
        <v>12</v>
      </c>
      <c r="B15" s="17" t="s">
        <v>41</v>
      </c>
      <c r="C15" s="11" t="s">
        <v>42</v>
      </c>
      <c r="D15" s="15" t="s">
        <v>43</v>
      </c>
      <c r="E15" s="10"/>
      <c r="F15" s="10"/>
      <c r="G15" s="10"/>
      <c r="H15" s="10"/>
      <c r="I15" s="8">
        <f t="shared" si="2"/>
        <v>0</v>
      </c>
      <c r="J15" s="10" t="str">
        <f t="shared" si="5"/>
        <v/>
      </c>
      <c r="K15" s="10"/>
    </row>
    <row r="16">
      <c r="A16" s="8">
        <f t="shared" si="4"/>
        <v>13</v>
      </c>
      <c r="B16" s="14"/>
      <c r="C16" s="11" t="s">
        <v>42</v>
      </c>
      <c r="D16" s="11" t="s">
        <v>44</v>
      </c>
      <c r="E16" s="10"/>
      <c r="F16" s="10"/>
      <c r="G16" s="10"/>
      <c r="H16" s="10"/>
      <c r="I16" s="8">
        <f t="shared" si="2"/>
        <v>0</v>
      </c>
      <c r="J16" s="10" t="str">
        <f t="shared" si="5"/>
        <v/>
      </c>
      <c r="K16" s="10"/>
    </row>
    <row r="17">
      <c r="A17" s="8">
        <f t="shared" si="4"/>
        <v>14</v>
      </c>
      <c r="B17" s="14"/>
      <c r="C17" s="11" t="s">
        <v>42</v>
      </c>
      <c r="D17" s="15" t="s">
        <v>45</v>
      </c>
      <c r="E17" s="10"/>
      <c r="F17" s="10"/>
      <c r="G17" s="10"/>
      <c r="H17" s="10"/>
      <c r="I17" s="8">
        <f t="shared" si="2"/>
        <v>0</v>
      </c>
      <c r="J17" s="10" t="str">
        <f t="shared" si="5"/>
        <v/>
      </c>
      <c r="K17" s="10"/>
    </row>
    <row r="18">
      <c r="A18" s="8">
        <f t="shared" si="4"/>
        <v>15</v>
      </c>
      <c r="B18" s="14"/>
      <c r="C18" s="11" t="s">
        <v>42</v>
      </c>
      <c r="D18" s="11" t="s">
        <v>46</v>
      </c>
      <c r="E18" s="10"/>
      <c r="F18" s="10"/>
      <c r="G18" s="10"/>
      <c r="H18" s="10"/>
      <c r="I18" s="8">
        <f t="shared" si="2"/>
        <v>0</v>
      </c>
      <c r="J18" s="10" t="str">
        <f t="shared" si="5"/>
        <v/>
      </c>
      <c r="K18" s="10"/>
    </row>
    <row r="19">
      <c r="A19" s="8">
        <f t="shared" si="4"/>
        <v>16</v>
      </c>
      <c r="B19" s="14"/>
      <c r="C19" s="11" t="s">
        <v>42</v>
      </c>
      <c r="D19" s="11" t="s">
        <v>47</v>
      </c>
      <c r="E19" s="10"/>
      <c r="F19" s="10"/>
      <c r="G19" s="10"/>
      <c r="H19" s="10"/>
      <c r="I19" s="8">
        <f t="shared" si="2"/>
        <v>0</v>
      </c>
      <c r="J19" s="10" t="str">
        <f t="shared" si="5"/>
        <v/>
      </c>
      <c r="K19" s="10"/>
    </row>
    <row r="20">
      <c r="A20" s="8">
        <f t="shared" si="4"/>
        <v>17</v>
      </c>
      <c r="B20" s="14"/>
      <c r="C20" s="11" t="s">
        <v>42</v>
      </c>
      <c r="D20" s="15" t="s">
        <v>48</v>
      </c>
      <c r="E20" s="10"/>
      <c r="F20" s="10"/>
      <c r="G20" s="10"/>
      <c r="H20" s="10"/>
      <c r="I20" s="8">
        <f t="shared" si="2"/>
        <v>0</v>
      </c>
      <c r="J20" s="10" t="str">
        <f t="shared" si="5"/>
        <v/>
      </c>
      <c r="K20" s="10"/>
    </row>
    <row r="21">
      <c r="A21" s="8">
        <f t="shared" si="4"/>
        <v>18</v>
      </c>
      <c r="B21" s="14"/>
      <c r="C21" s="11" t="s">
        <v>42</v>
      </c>
      <c r="D21" s="11" t="s">
        <v>49</v>
      </c>
      <c r="E21" s="10"/>
      <c r="F21" s="10"/>
      <c r="G21" s="10"/>
      <c r="H21" s="10"/>
      <c r="I21" s="8">
        <f t="shared" si="2"/>
        <v>0</v>
      </c>
      <c r="J21" s="10" t="str">
        <f t="shared" si="5"/>
        <v/>
      </c>
      <c r="K21" s="10"/>
    </row>
    <row r="22">
      <c r="A22" s="8">
        <f t="shared" si="4"/>
        <v>19</v>
      </c>
      <c r="B22" s="16"/>
      <c r="C22" s="11" t="s">
        <v>42</v>
      </c>
      <c r="D22" s="11" t="s">
        <v>50</v>
      </c>
      <c r="E22" s="10"/>
      <c r="F22" s="10"/>
      <c r="G22" s="10"/>
      <c r="H22" s="10"/>
      <c r="I22" s="8">
        <f t="shared" si="2"/>
        <v>0</v>
      </c>
      <c r="J22" s="10" t="str">
        <f t="shared" si="5"/>
        <v/>
      </c>
      <c r="K22" s="10"/>
    </row>
    <row r="23">
      <c r="A23" s="8">
        <f t="shared" si="4"/>
        <v>20</v>
      </c>
      <c r="B23" s="17" t="s">
        <v>51</v>
      </c>
      <c r="C23" s="11" t="s">
        <v>52</v>
      </c>
      <c r="D23" s="15" t="s">
        <v>53</v>
      </c>
      <c r="E23" s="10"/>
      <c r="F23" s="10"/>
      <c r="G23" s="10"/>
      <c r="H23" s="10"/>
      <c r="I23" s="8">
        <f t="shared" si="2"/>
        <v>0</v>
      </c>
      <c r="J23" s="10" t="str">
        <f t="shared" si="5"/>
        <v/>
      </c>
      <c r="K23" s="10"/>
    </row>
    <row r="24">
      <c r="A24" s="8">
        <f t="shared" si="4"/>
        <v>21</v>
      </c>
      <c r="B24" s="14"/>
      <c r="C24" s="11" t="s">
        <v>52</v>
      </c>
      <c r="D24" s="18" t="s">
        <v>54</v>
      </c>
      <c r="E24" s="10"/>
      <c r="F24" s="10"/>
      <c r="G24" s="10"/>
      <c r="H24" s="10"/>
      <c r="I24" s="8">
        <f t="shared" si="2"/>
        <v>0</v>
      </c>
      <c r="J24" s="10" t="str">
        <f t="shared" si="5"/>
        <v/>
      </c>
      <c r="K24" s="10"/>
    </row>
    <row r="25">
      <c r="A25" s="8">
        <f t="shared" si="4"/>
        <v>22</v>
      </c>
      <c r="B25" s="14"/>
      <c r="C25" s="11" t="s">
        <v>52</v>
      </c>
      <c r="D25" s="11" t="s">
        <v>55</v>
      </c>
      <c r="E25" s="10"/>
      <c r="F25" s="19"/>
      <c r="G25" s="19"/>
      <c r="H25" s="10"/>
      <c r="I25" s="8">
        <f t="shared" si="2"/>
        <v>0</v>
      </c>
      <c r="J25" s="10" t="str">
        <f t="shared" si="5"/>
        <v/>
      </c>
      <c r="K25" s="10"/>
    </row>
    <row r="26">
      <c r="A26" s="8">
        <f t="shared" si="4"/>
        <v>23</v>
      </c>
      <c r="B26" s="16"/>
      <c r="C26" s="11" t="s">
        <v>52</v>
      </c>
      <c r="D26" s="11" t="s">
        <v>56</v>
      </c>
      <c r="E26" s="10"/>
      <c r="F26" s="19"/>
      <c r="G26" s="19"/>
      <c r="H26" s="10"/>
      <c r="I26" s="8">
        <f t="shared" si="2"/>
        <v>0</v>
      </c>
      <c r="J26" s="10" t="str">
        <f t="shared" si="5"/>
        <v/>
      </c>
      <c r="K26" s="10"/>
    </row>
    <row r="27">
      <c r="A27" s="8">
        <f t="shared" si="4"/>
        <v>24</v>
      </c>
      <c r="B27" s="17" t="s">
        <v>57</v>
      </c>
      <c r="C27" s="11" t="s">
        <v>58</v>
      </c>
      <c r="D27" s="15" t="s">
        <v>59</v>
      </c>
      <c r="E27" s="10"/>
      <c r="F27" s="19"/>
      <c r="G27" s="19"/>
      <c r="H27" s="10"/>
      <c r="I27" s="8">
        <f t="shared" si="2"/>
        <v>0</v>
      </c>
      <c r="J27" s="10" t="str">
        <f t="shared" si="5"/>
        <v/>
      </c>
      <c r="K27" s="10"/>
    </row>
    <row r="28">
      <c r="A28" s="8">
        <f t="shared" si="4"/>
        <v>25</v>
      </c>
      <c r="B28" s="14"/>
      <c r="C28" s="11" t="s">
        <v>58</v>
      </c>
      <c r="D28" s="11" t="s">
        <v>60</v>
      </c>
      <c r="E28" s="10"/>
      <c r="F28" s="19"/>
      <c r="G28" s="19"/>
      <c r="H28" s="10"/>
      <c r="I28" s="8">
        <f t="shared" si="2"/>
        <v>0</v>
      </c>
      <c r="J28" s="10" t="str">
        <f t="shared" si="5"/>
        <v/>
      </c>
      <c r="K28" s="10"/>
    </row>
    <row r="29">
      <c r="A29" s="8">
        <f t="shared" si="4"/>
        <v>26</v>
      </c>
      <c r="B29" s="14"/>
      <c r="C29" s="11" t="s">
        <v>58</v>
      </c>
      <c r="D29" s="11" t="s">
        <v>61</v>
      </c>
      <c r="E29" s="10"/>
      <c r="F29" s="19"/>
      <c r="G29" s="19"/>
      <c r="H29" s="10"/>
      <c r="I29" s="8">
        <f t="shared" si="2"/>
        <v>0</v>
      </c>
      <c r="J29" s="10" t="str">
        <f t="shared" si="5"/>
        <v/>
      </c>
      <c r="K29" s="10"/>
    </row>
    <row r="30">
      <c r="A30" s="8">
        <f t="shared" si="4"/>
        <v>27</v>
      </c>
      <c r="B30" s="16"/>
      <c r="C30" s="11" t="s">
        <v>58</v>
      </c>
      <c r="D30" s="11" t="s">
        <v>62</v>
      </c>
      <c r="E30" s="10"/>
      <c r="F30" s="19"/>
      <c r="G30" s="19"/>
      <c r="H30" s="10"/>
      <c r="I30" s="8">
        <f t="shared" si="2"/>
        <v>0</v>
      </c>
      <c r="J30" s="10" t="str">
        <f t="shared" si="5"/>
        <v/>
      </c>
      <c r="K30" s="1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</row>
  </sheetData>
  <mergeCells count="5">
    <mergeCell ref="B4:B9"/>
    <mergeCell ref="B10:B14"/>
    <mergeCell ref="B15:B22"/>
    <mergeCell ref="B23:B26"/>
    <mergeCell ref="B27:B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63</v>
      </c>
    </row>
    <row r="2">
      <c r="B2" s="15"/>
    </row>
    <row r="3">
      <c r="A3" s="15" t="s">
        <v>64</v>
      </c>
    </row>
    <row r="6">
      <c r="A6" s="15" t="s">
        <v>65</v>
      </c>
    </row>
    <row r="7">
      <c r="A7" s="15" t="s">
        <v>66</v>
      </c>
    </row>
    <row r="8">
      <c r="A8" s="15" t="s">
        <v>67</v>
      </c>
    </row>
    <row r="9">
      <c r="A9" s="15" t="s">
        <v>68</v>
      </c>
    </row>
    <row r="10">
      <c r="A10" s="15" t="s">
        <v>69</v>
      </c>
    </row>
    <row r="11">
      <c r="A11" s="15" t="s">
        <v>70</v>
      </c>
    </row>
    <row r="12">
      <c r="A12" s="15" t="s">
        <v>71</v>
      </c>
    </row>
    <row r="13">
      <c r="A13" s="15" t="s">
        <v>72</v>
      </c>
    </row>
    <row r="14">
      <c r="A14" s="15" t="s">
        <v>73</v>
      </c>
    </row>
    <row r="15">
      <c r="A15" s="15" t="s">
        <v>74</v>
      </c>
    </row>
    <row r="16">
      <c r="A16" s="15" t="s">
        <v>75</v>
      </c>
    </row>
    <row r="17">
      <c r="A17" s="15" t="s">
        <v>76</v>
      </c>
    </row>
    <row r="18">
      <c r="A18" s="15" t="s">
        <v>77</v>
      </c>
    </row>
    <row r="19">
      <c r="A19" s="15" t="s">
        <v>78</v>
      </c>
    </row>
    <row r="20">
      <c r="A20" s="15" t="s">
        <v>79</v>
      </c>
    </row>
    <row r="21">
      <c r="A21" s="15" t="s">
        <v>80</v>
      </c>
    </row>
    <row r="22">
      <c r="A22" s="15" t="s">
        <v>81</v>
      </c>
    </row>
  </sheetData>
  <drawing r:id="rId1"/>
</worksheet>
</file>